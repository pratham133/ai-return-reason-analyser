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Rs &quot;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2E7D32"/>
      <sz val="16"/>
    </font>
    <font>
      <name val="Arial"/>
      <i val="1"/>
      <color rgb="00666666"/>
      <sz val="10"/>
    </font>
    <font>
      <name val="Arial"/>
      <b val="1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Returns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 Dashboard'!B4</f>
            </strRef>
          </tx>
          <spPr>
            <a:ln>
              <a:prstDash val="solid"/>
            </a:ln>
          </spPr>
          <cat>
            <numRef>
              <f>'Summary Dashboard'!$A$5:$A$10</f>
            </numRef>
          </cat>
          <val>
            <numRef>
              <f>'Summary Dashboard'!$B$5:$B$10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No. of Returns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45" customWidth="1" min="4" max="4"/>
    <col width="30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 (Rs)</t>
        </is>
      </c>
      <c r="D1" s="1" t="inlineStr">
        <is>
          <t>Return Reason</t>
        </is>
      </c>
      <c r="E1" s="1" t="inlineStr">
        <is>
          <t>Business Category</t>
        </is>
      </c>
    </row>
    <row r="2">
      <c r="A2" s="2" t="inlineStr">
        <is>
          <t>Men's Slim Fit Shirt</t>
        </is>
      </c>
      <c r="B2" s="2" t="inlineStr">
        <is>
          <t>Apparel</t>
        </is>
      </c>
      <c r="C2" s="2" t="n">
        <v>899</v>
      </c>
      <c r="D2" s="2" t="inlineStr">
        <is>
          <t>The size was way smaller than the size chart said</t>
        </is>
      </c>
      <c r="E2" s="2" t="inlineStr">
        <is>
          <t>Size / Fit Mismatch</t>
        </is>
      </c>
    </row>
    <row r="3">
      <c r="A3" s="2" t="inlineStr">
        <is>
          <t>Women's Kurti Set</t>
        </is>
      </c>
      <c r="B3" s="2" t="inlineStr">
        <is>
          <t>Apparel</t>
        </is>
      </c>
      <c r="C3" s="2" t="n">
        <v>1299</v>
      </c>
      <c r="D3" s="2" t="inlineStr">
        <is>
          <t>Fabric felt cheap and thin compared to the photos</t>
        </is>
      </c>
      <c r="E3" s="2" t="inlineStr">
        <is>
          <t>Not as Described (Listing Mismatch)</t>
        </is>
      </c>
    </row>
    <row r="4">
      <c r="A4" s="2" t="inlineStr">
        <is>
          <t>Running Shoes</t>
        </is>
      </c>
      <c r="B4" s="2" t="inlineStr">
        <is>
          <t>Footwear</t>
        </is>
      </c>
      <c r="C4" s="2" t="n">
        <v>2499</v>
      </c>
      <c r="D4" s="2" t="inlineStr">
        <is>
          <t>Shoe arrived with a torn box and scuff marks on the sole</t>
        </is>
      </c>
      <c r="E4" s="2" t="inlineStr">
        <is>
          <t>Damaged / Incomplete on Arrival</t>
        </is>
      </c>
    </row>
    <row r="5">
      <c r="A5" s="2" t="inlineStr">
        <is>
          <t>Wireless Earbuds</t>
        </is>
      </c>
      <c r="B5" s="2" t="inlineStr">
        <is>
          <t>Electronics</t>
        </is>
      </c>
      <c r="C5" s="2" t="n">
        <v>1799</v>
      </c>
      <c r="D5" s="2" t="inlineStr">
        <is>
          <t>Left earbud stopped charging after two days</t>
        </is>
      </c>
      <c r="E5" s="2" t="inlineStr">
        <is>
          <t>Product Malfunction</t>
        </is>
      </c>
    </row>
    <row r="6">
      <c r="A6" s="2" t="inlineStr">
        <is>
          <t>Bluetooth Speaker</t>
        </is>
      </c>
      <c r="B6" s="2" t="inlineStr">
        <is>
          <t>Electronics</t>
        </is>
      </c>
      <c r="C6" s="2" t="n">
        <v>2199</v>
      </c>
      <c r="D6" s="2" t="inlineStr">
        <is>
          <t>Sound quality was tinny not like the demo video</t>
        </is>
      </c>
      <c r="E6" s="2" t="inlineStr">
        <is>
          <t>Not as Described (Listing Mismatch)</t>
        </is>
      </c>
    </row>
    <row r="7">
      <c r="A7" s="2" t="inlineStr">
        <is>
          <t>Men's Formal Trousers</t>
        </is>
      </c>
      <c r="B7" s="2" t="inlineStr">
        <is>
          <t>Apparel</t>
        </is>
      </c>
      <c r="C7" s="2" t="n">
        <v>1099</v>
      </c>
      <c r="D7" s="2" t="inlineStr">
        <is>
          <t>Waist size was one size too big even though I ordered my usual size</t>
        </is>
      </c>
      <c r="E7" s="2" t="inlineStr">
        <is>
          <t>Size / Fit Mismatch</t>
        </is>
      </c>
    </row>
    <row r="8">
      <c r="A8" s="2" t="inlineStr">
        <is>
          <t>Women's Handbag</t>
        </is>
      </c>
      <c r="B8" s="2" t="inlineStr">
        <is>
          <t>Accessories</t>
        </is>
      </c>
      <c r="C8" s="2" t="n">
        <v>1599</v>
      </c>
      <c r="D8" s="2" t="inlineStr">
        <is>
          <t>Color looked mustard yellow in photos but arrived olive green</t>
        </is>
      </c>
      <c r="E8" s="2" t="inlineStr">
        <is>
          <t>Not as Described (Listing Mismatch)</t>
        </is>
      </c>
    </row>
    <row r="9">
      <c r="A9" s="2" t="inlineStr">
        <is>
          <t>Skincare Combo Set</t>
        </is>
      </c>
      <c r="B9" s="2" t="inlineStr">
        <is>
          <t>Beauty</t>
        </is>
      </c>
      <c r="C9" s="2" t="n">
        <v>899</v>
      </c>
      <c r="D9" s="2" t="inlineStr">
        <is>
          <t>One of the bottles was leaking inside the box</t>
        </is>
      </c>
      <c r="E9" s="2" t="inlineStr">
        <is>
          <t>Damaged / Incomplete on Arrival</t>
        </is>
      </c>
    </row>
    <row r="10">
      <c r="A10" s="2" t="inlineStr">
        <is>
          <t>Kids Backpack</t>
        </is>
      </c>
      <c r="B10" s="2" t="inlineStr">
        <is>
          <t>Accessories</t>
        </is>
      </c>
      <c r="C10" s="2" t="n">
        <v>799</v>
      </c>
      <c r="D10" s="2" t="inlineStr">
        <is>
          <t>Zipper broke on the very first use</t>
        </is>
      </c>
      <c r="E10" s="2" t="inlineStr">
        <is>
          <t>Build Quality / Durability</t>
        </is>
      </c>
    </row>
    <row r="11">
      <c r="A11" s="2" t="inlineStr">
        <is>
          <t>Smart Watch</t>
        </is>
      </c>
      <c r="B11" s="2" t="inlineStr">
        <is>
          <t>Electronics</t>
        </is>
      </c>
      <c r="C11" s="2" t="n">
        <v>3499</v>
      </c>
      <c r="D11" s="2" t="inlineStr">
        <is>
          <t>Screen had a dead pixel out of the box</t>
        </is>
      </c>
      <c r="E11" s="2" t="inlineStr">
        <is>
          <t>Product Malfunction</t>
        </is>
      </c>
    </row>
    <row r="12">
      <c r="A12" s="2" t="inlineStr">
        <is>
          <t>Men's Sneakers</t>
        </is>
      </c>
      <c r="B12" s="2" t="inlineStr">
        <is>
          <t>Footwear</t>
        </is>
      </c>
      <c r="C12" s="2" t="n">
        <v>1999</v>
      </c>
      <c r="D12" s="2" t="inlineStr">
        <is>
          <t>Ordered UK 9 but received UK 8 by mistake</t>
        </is>
      </c>
      <c r="E12" s="2" t="inlineStr">
        <is>
          <t>Wrong Item Sent</t>
        </is>
      </c>
    </row>
    <row r="13">
      <c r="A13" s="2" t="inlineStr">
        <is>
          <t>Women's Saree</t>
        </is>
      </c>
      <c r="B13" s="2" t="inlineStr">
        <is>
          <t>Apparel</t>
        </is>
      </c>
      <c r="C13" s="2" t="n">
        <v>2299</v>
      </c>
      <c r="D13" s="2" t="inlineStr">
        <is>
          <t>Material felt synthetic not the pure cotton advertised</t>
        </is>
      </c>
      <c r="E13" s="2" t="inlineStr">
        <is>
          <t>Not as Described (Listing Mismatch)</t>
        </is>
      </c>
    </row>
    <row r="14">
      <c r="A14" s="2" t="inlineStr">
        <is>
          <t>Air Fryer</t>
        </is>
      </c>
      <c r="B14" s="2" t="inlineStr">
        <is>
          <t>Home Appliances</t>
        </is>
      </c>
      <c r="C14" s="2" t="n">
        <v>4999</v>
      </c>
      <c r="D14" s="2" t="inlineStr">
        <is>
          <t>Stopped heating after the third use</t>
        </is>
      </c>
      <c r="E14" s="2" t="inlineStr">
        <is>
          <t>Product Malfunction</t>
        </is>
      </c>
    </row>
    <row r="15">
      <c r="A15" s="2" t="inlineStr">
        <is>
          <t>Non Stick Cookware Set</t>
        </is>
      </c>
      <c r="B15" s="2" t="inlineStr">
        <is>
          <t>Home Appliances</t>
        </is>
      </c>
      <c r="C15" s="2" t="n">
        <v>1899</v>
      </c>
      <c r="D15" s="2" t="inlineStr">
        <is>
          <t>Coating started peeling within a week</t>
        </is>
      </c>
      <c r="E15" s="2" t="inlineStr">
        <is>
          <t>Build Quality / Durability</t>
        </is>
      </c>
    </row>
    <row r="16">
      <c r="A16" s="2" t="inlineStr">
        <is>
          <t>Men's Hoodie</t>
        </is>
      </c>
      <c r="B16" s="2" t="inlineStr">
        <is>
          <t>Apparel</t>
        </is>
      </c>
      <c r="C16" s="2" t="n">
        <v>1499</v>
      </c>
      <c r="D16" s="2" t="inlineStr">
        <is>
          <t>Print on the hoodie was crooked and off center</t>
        </is>
      </c>
      <c r="E16" s="2" t="inlineStr">
        <is>
          <t>Not as Described (Listing Mismatch)</t>
        </is>
      </c>
    </row>
    <row r="17">
      <c r="A17" s="2" t="inlineStr">
        <is>
          <t>Women's Jeans</t>
        </is>
      </c>
      <c r="B17" s="2" t="inlineStr">
        <is>
          <t>Apparel</t>
        </is>
      </c>
      <c r="C17" s="2" t="n">
        <v>1699</v>
      </c>
      <c r="D17" s="2" t="inlineStr">
        <is>
          <t>Fit was too tight around the thighs despite ordering usual size</t>
        </is>
      </c>
      <c r="E17" s="2" t="inlineStr">
        <is>
          <t>Size / Fit Mismatch</t>
        </is>
      </c>
    </row>
    <row r="18">
      <c r="A18" s="2" t="inlineStr">
        <is>
          <t>Laptop Sleeve</t>
        </is>
      </c>
      <c r="B18" s="2" t="inlineStr">
        <is>
          <t>Accessories</t>
        </is>
      </c>
      <c r="C18" s="2" t="n">
        <v>599</v>
      </c>
      <c r="D18" s="2" t="inlineStr">
        <is>
          <t>Received a different design than what was shown</t>
        </is>
      </c>
      <c r="E18" s="2" t="inlineStr">
        <is>
          <t>Not as Described (Listing Mismatch)</t>
        </is>
      </c>
    </row>
    <row r="19">
      <c r="A19" s="2" t="inlineStr">
        <is>
          <t>Yoga Mat</t>
        </is>
      </c>
      <c r="B19" s="2" t="inlineStr">
        <is>
          <t>Fitness</t>
        </is>
      </c>
      <c r="C19" s="2" t="n">
        <v>999</v>
      </c>
      <c r="D19" s="2" t="inlineStr">
        <is>
          <t>Mat had a strong chemical smell that did not go away</t>
        </is>
      </c>
      <c r="E19" s="2" t="inlineStr">
        <is>
          <t>Not as Described (Listing Mismatch)</t>
        </is>
      </c>
    </row>
    <row r="20">
      <c r="A20" s="2" t="inlineStr">
        <is>
          <t>Protein Powder</t>
        </is>
      </c>
      <c r="B20" s="2" t="inlineStr">
        <is>
          <t>Health</t>
        </is>
      </c>
      <c r="C20" s="2" t="n">
        <v>1899</v>
      </c>
      <c r="D20" s="2" t="inlineStr">
        <is>
          <t>Seal was broken and looked tampered with</t>
        </is>
      </c>
      <c r="E20" s="2" t="inlineStr">
        <is>
          <t>Damaged / Incomplete on Arrival</t>
        </is>
      </c>
    </row>
    <row r="21">
      <c r="A21" s="2" t="inlineStr">
        <is>
          <t>Men's Wallet</t>
        </is>
      </c>
      <c r="B21" s="2" t="inlineStr">
        <is>
          <t>Accessories</t>
        </is>
      </c>
      <c r="C21" s="2" t="n">
        <v>699</v>
      </c>
      <c r="D21" s="2" t="inlineStr">
        <is>
          <t>Stitching came apart within two days</t>
        </is>
      </c>
      <c r="E21" s="2" t="inlineStr">
        <is>
          <t>Build Quality / Durability</t>
        </is>
      </c>
    </row>
    <row r="22">
      <c r="A22" s="2" t="inlineStr">
        <is>
          <t>Women's Ethnic Top</t>
        </is>
      </c>
      <c r="B22" s="2" t="inlineStr">
        <is>
          <t>Apparel</t>
        </is>
      </c>
      <c r="C22" s="2" t="n">
        <v>899</v>
      </c>
      <c r="D22" s="2" t="inlineStr">
        <is>
          <t>Color faded significantly after just one wash</t>
        </is>
      </c>
      <c r="E22" s="2" t="inlineStr">
        <is>
          <t>Not as Described (Listing Mismatch)</t>
        </is>
      </c>
    </row>
    <row r="23">
      <c r="A23" s="2" t="inlineStr">
        <is>
          <t>Electric Kettle</t>
        </is>
      </c>
      <c r="B23" s="2" t="inlineStr">
        <is>
          <t>Home Appliances</t>
        </is>
      </c>
      <c r="C23" s="2" t="n">
        <v>1299</v>
      </c>
      <c r="D23" s="2" t="inlineStr">
        <is>
          <t>Kettle leaked water from the base</t>
        </is>
      </c>
      <c r="E23" s="2" t="inlineStr">
        <is>
          <t>Damaged / Incomplete on Arrival</t>
        </is>
      </c>
    </row>
    <row r="24">
      <c r="A24" s="2" t="inlineStr">
        <is>
          <t>Wireless Mouse</t>
        </is>
      </c>
      <c r="B24" s="2" t="inlineStr">
        <is>
          <t>Electronics</t>
        </is>
      </c>
      <c r="C24" s="2" t="n">
        <v>799</v>
      </c>
      <c r="D24" s="2" t="inlineStr">
        <is>
          <t>Mouse stopped connecting to laptop after one day</t>
        </is>
      </c>
      <c r="E24" s="2" t="inlineStr">
        <is>
          <t>Product Malfunction</t>
        </is>
      </c>
    </row>
    <row r="25">
      <c r="A25" s="2" t="inlineStr">
        <is>
          <t>Men's Sports Shorts</t>
        </is>
      </c>
      <c r="B25" s="2" t="inlineStr">
        <is>
          <t>Apparel</t>
        </is>
      </c>
      <c r="C25" s="2" t="n">
        <v>599</v>
      </c>
      <c r="D25" s="2" t="inlineStr">
        <is>
          <t>Received wrong item completely a t shirt instead</t>
        </is>
      </c>
      <c r="E25" s="2" t="inlineStr">
        <is>
          <t>Wrong Item Sent</t>
        </is>
      </c>
    </row>
    <row r="26">
      <c r="A26" s="2" t="inlineStr">
        <is>
          <t>Face Cream Combo</t>
        </is>
      </c>
      <c r="B26" s="2" t="inlineStr">
        <is>
          <t>Beauty</t>
        </is>
      </c>
      <c r="C26" s="2" t="n">
        <v>1099</v>
      </c>
      <c r="D26" s="2" t="inlineStr">
        <is>
          <t>Product had an odd smell different from the original</t>
        </is>
      </c>
      <c r="E26" s="2" t="inlineStr">
        <is>
          <t>Not as Described (Listing Mismatch)</t>
        </is>
      </c>
    </row>
    <row r="27">
      <c r="A27" s="2" t="inlineStr">
        <is>
          <t>Women's Flats</t>
        </is>
      </c>
      <c r="B27" s="2" t="inlineStr">
        <is>
          <t>Footwear</t>
        </is>
      </c>
      <c r="C27" s="2" t="n">
        <v>1199</v>
      </c>
      <c r="D27" s="2" t="inlineStr">
        <is>
          <t>Sole started coming off after light use</t>
        </is>
      </c>
      <c r="E27" s="2" t="inlineStr">
        <is>
          <t>Build Quality / Durability</t>
        </is>
      </c>
    </row>
    <row r="28">
      <c r="A28" s="2" t="inlineStr">
        <is>
          <t>Bedsheet Set</t>
        </is>
      </c>
      <c r="B28" s="2" t="inlineStr">
        <is>
          <t>Home</t>
        </is>
      </c>
      <c r="C28" s="2" t="n">
        <v>1399</v>
      </c>
      <c r="D28" s="2" t="inlineStr">
        <is>
          <t>Thread count did not match what was described on the listing</t>
        </is>
      </c>
      <c r="E28" s="2" t="inlineStr">
        <is>
          <t>Not as Described (Listing Mismatch)</t>
        </is>
      </c>
    </row>
    <row r="29">
      <c r="A29" s="2" t="inlineStr">
        <is>
          <t>Table Lamp</t>
        </is>
      </c>
      <c r="B29" s="2" t="inlineStr">
        <is>
          <t>Home</t>
        </is>
      </c>
      <c r="C29" s="2" t="n">
        <v>899</v>
      </c>
      <c r="D29" s="2" t="inlineStr">
        <is>
          <t>Arrived with the switch not working</t>
        </is>
      </c>
      <c r="E29" s="2" t="inlineStr">
        <is>
          <t>Product Malfunction</t>
        </is>
      </c>
    </row>
    <row r="30">
      <c r="A30" s="2" t="inlineStr">
        <is>
          <t>Men's Polo Tshirt</t>
        </is>
      </c>
      <c r="B30" s="2" t="inlineStr">
        <is>
          <t>Apparel</t>
        </is>
      </c>
      <c r="C30" s="2" t="n">
        <v>799</v>
      </c>
      <c r="D30" s="2" t="inlineStr">
        <is>
          <t>Ordered large but the fit was more like medium</t>
        </is>
      </c>
      <c r="E30" s="2" t="inlineStr">
        <is>
          <t>Size / Fit Mismatch</t>
        </is>
      </c>
    </row>
    <row r="31">
      <c r="A31" s="2" t="inlineStr">
        <is>
          <t>Women's Earrings Set</t>
        </is>
      </c>
      <c r="B31" s="2" t="inlineStr">
        <is>
          <t>Accessories</t>
        </is>
      </c>
      <c r="C31" s="2" t="n">
        <v>499</v>
      </c>
      <c r="D31" s="2" t="inlineStr">
        <is>
          <t>One earring was missing from the package</t>
        </is>
      </c>
      <c r="E31" s="2" t="inlineStr">
        <is>
          <t>Damaged / Incomplete on Arrival</t>
        </is>
      </c>
    </row>
    <row r="32">
      <c r="A32" s="2" t="inlineStr">
        <is>
          <t>Baby Diapers Pack</t>
        </is>
      </c>
      <c r="B32" s="2" t="inlineStr">
        <is>
          <t>Baby Care</t>
        </is>
      </c>
      <c r="C32" s="2" t="n">
        <v>799</v>
      </c>
      <c r="D32" s="2" t="inlineStr">
        <is>
          <t>Pack was already opened and a few diapers missing</t>
        </is>
      </c>
      <c r="E32" s="2" t="inlineStr">
        <is>
          <t>Damaged / Incomplete on Arrival</t>
        </is>
      </c>
    </row>
    <row r="33">
      <c r="A33" s="2" t="inlineStr">
        <is>
          <t>Hair Dryer</t>
        </is>
      </c>
      <c r="B33" s="2" t="inlineStr">
        <is>
          <t>Beauty</t>
        </is>
      </c>
      <c r="C33" s="2" t="n">
        <v>1599</v>
      </c>
      <c r="D33" s="2" t="inlineStr">
        <is>
          <t>Motor made a burning smell within minutes of use</t>
        </is>
      </c>
      <c r="E33" s="2" t="inlineStr">
        <is>
          <t>Product Malfunction</t>
        </is>
      </c>
    </row>
    <row r="34">
      <c r="A34" s="2" t="inlineStr">
        <is>
          <t>Men's Sunglasses</t>
        </is>
      </c>
      <c r="B34" s="2" t="inlineStr">
        <is>
          <t>Accessories</t>
        </is>
      </c>
      <c r="C34" s="2" t="n">
        <v>999</v>
      </c>
      <c r="D34" s="2" t="inlineStr">
        <is>
          <t>Received a scratched pair not a new one</t>
        </is>
      </c>
      <c r="E34" s="2" t="inlineStr">
        <is>
          <t>Damaged / Incomplete on Arrival</t>
        </is>
      </c>
    </row>
    <row r="35">
      <c r="A35" s="2" t="inlineStr">
        <is>
          <t>Women's Leggings</t>
        </is>
      </c>
      <c r="B35" s="2" t="inlineStr">
        <is>
          <t>Apparel</t>
        </is>
      </c>
      <c r="C35" s="2" t="n">
        <v>599</v>
      </c>
      <c r="D35" s="2" t="inlineStr">
        <is>
          <t>Fabric was see through more than expected</t>
        </is>
      </c>
      <c r="E35" s="2" t="inlineStr">
        <is>
          <t>Not as Described (Listing Mismatch)</t>
        </is>
      </c>
    </row>
    <row r="36">
      <c r="A36" s="2" t="inlineStr">
        <is>
          <t>Bluetooth Headphones</t>
        </is>
      </c>
      <c r="B36" s="2" t="inlineStr">
        <is>
          <t>Electronics</t>
        </is>
      </c>
      <c r="C36" s="2" t="n">
        <v>2299</v>
      </c>
      <c r="D36" s="2" t="inlineStr">
        <is>
          <t>One side had no sound at all</t>
        </is>
      </c>
      <c r="E36" s="2" t="inlineStr">
        <is>
          <t>Product Malfunction</t>
        </is>
      </c>
    </row>
    <row r="37">
      <c r="A37" s="2" t="inlineStr">
        <is>
          <t>Cushion Covers Set</t>
        </is>
      </c>
      <c r="B37" s="2" t="inlineStr">
        <is>
          <t>Home</t>
        </is>
      </c>
      <c r="C37" s="2" t="n">
        <v>699</v>
      </c>
      <c r="D37" s="2" t="inlineStr">
        <is>
          <t>Color was very different from what was shown online</t>
        </is>
      </c>
      <c r="E37" s="2" t="inlineStr">
        <is>
          <t>Not as Described (Listing Mismatch)</t>
        </is>
      </c>
    </row>
    <row r="38">
      <c r="A38" s="2" t="inlineStr">
        <is>
          <t>Men's Track Pants</t>
        </is>
      </c>
      <c r="B38" s="2" t="inlineStr">
        <is>
          <t>Apparel</t>
        </is>
      </c>
      <c r="C38" s="2" t="n">
        <v>899</v>
      </c>
      <c r="D38" s="2" t="inlineStr">
        <is>
          <t>Elastic waistband was already loose out of the box</t>
        </is>
      </c>
      <c r="E38" s="2" t="inlineStr">
        <is>
          <t>Size / Fit Mismatch</t>
        </is>
      </c>
    </row>
    <row r="39">
      <c r="A39" s="2" t="inlineStr">
        <is>
          <t>Women's Clutch</t>
        </is>
      </c>
      <c r="B39" s="2" t="inlineStr">
        <is>
          <t>Accessories</t>
        </is>
      </c>
      <c r="C39" s="2" t="n">
        <v>1099</v>
      </c>
      <c r="D39" s="2" t="inlineStr">
        <is>
          <t>Zipper got stuck on the second use</t>
        </is>
      </c>
      <c r="E39" s="2" t="inlineStr">
        <is>
          <t>Build Quality / Durability</t>
        </is>
      </c>
    </row>
    <row r="40">
      <c r="A40" s="2" t="inlineStr">
        <is>
          <t>Water Bottle Set</t>
        </is>
      </c>
      <c r="B40" s="2" t="inlineStr">
        <is>
          <t>Home</t>
        </is>
      </c>
      <c r="C40" s="2" t="n">
        <v>499</v>
      </c>
      <c r="D40" s="2" t="inlineStr">
        <is>
          <t>One bottle had a small crack near the cap</t>
        </is>
      </c>
      <c r="E40" s="2" t="inlineStr">
        <is>
          <t>Damaged / Incomplete on Arrival</t>
        </is>
      </c>
    </row>
    <row r="41">
      <c r="A41" s="2" t="inlineStr">
        <is>
          <t>Men's Formal Shoes</t>
        </is>
      </c>
      <c r="B41" s="2" t="inlineStr">
        <is>
          <t>Footwear</t>
        </is>
      </c>
      <c r="C41" s="2" t="n">
        <v>2799</v>
      </c>
      <c r="D41" s="2" t="inlineStr">
        <is>
          <t>Right shoe size did not match the left shoe</t>
        </is>
      </c>
      <c r="E41" s="2" t="inlineStr">
        <is>
          <t>Size / Fit Mismatch</t>
        </is>
      </c>
    </row>
    <row r="42">
      <c r="A42" s="2" t="inlineStr">
        <is>
          <t>Rice Cooker</t>
        </is>
      </c>
      <c r="B42" s="2" t="inlineStr">
        <is>
          <t>Home Appliances</t>
        </is>
      </c>
      <c r="C42" s="2" t="n">
        <v>1799</v>
      </c>
      <c r="D42" s="2" t="inlineStr">
        <is>
          <t>Inner pot has a scratched non stick coating from new</t>
        </is>
      </c>
      <c r="E42" s="2" t="inlineStr">
        <is>
          <t>Damaged / Incomplete on Arrival</t>
        </is>
      </c>
    </row>
    <row r="43">
      <c r="A43" s="2" t="inlineStr">
        <is>
          <t>Women's Maxi Dress</t>
        </is>
      </c>
      <c r="B43" s="2" t="inlineStr">
        <is>
          <t>Apparel</t>
        </is>
      </c>
      <c r="C43" s="2" t="n">
        <v>1599</v>
      </c>
      <c r="D43" s="2" t="inlineStr">
        <is>
          <t>Length was much shorter than shown in the model photo</t>
        </is>
      </c>
      <c r="E43" s="2" t="inlineStr">
        <is>
          <t>Not as Described (Listing Mismatch)</t>
        </is>
      </c>
    </row>
    <row r="44">
      <c r="A44" s="2" t="inlineStr">
        <is>
          <t>Kids Shoes</t>
        </is>
      </c>
      <c r="B44" s="2" t="inlineStr">
        <is>
          <t>Footwear</t>
        </is>
      </c>
      <c r="C44" s="2" t="n">
        <v>899</v>
      </c>
      <c r="D44" s="2" t="inlineStr">
        <is>
          <t>Sizing ran very small compared to age group mentioned</t>
        </is>
      </c>
      <c r="E44" s="2" t="inlineStr">
        <is>
          <t>Size / Fit Mismatch</t>
        </is>
      </c>
    </row>
    <row r="45">
      <c r="A45" s="2" t="inlineStr">
        <is>
          <t>Phone Case</t>
        </is>
      </c>
      <c r="B45" s="2" t="inlineStr">
        <is>
          <t>Accessories</t>
        </is>
      </c>
      <c r="C45" s="2" t="n">
        <v>399</v>
      </c>
      <c r="D45" s="2" t="inlineStr">
        <is>
          <t>Case did not fit the phone model properly</t>
        </is>
      </c>
      <c r="E45" s="2" t="inlineStr">
        <is>
          <t>Size / Fit Mismatch</t>
        </is>
      </c>
    </row>
    <row r="46">
      <c r="A46" s="2" t="inlineStr">
        <is>
          <t>Men's Casual Shirt</t>
        </is>
      </c>
      <c r="B46" s="2" t="inlineStr">
        <is>
          <t>Apparel</t>
        </is>
      </c>
      <c r="C46" s="2" t="n">
        <v>1099</v>
      </c>
      <c r="D46" s="2" t="inlineStr">
        <is>
          <t>Two buttons were missing from the shirt</t>
        </is>
      </c>
      <c r="E46" s="2" t="inlineStr">
        <is>
          <t>Damaged / Incomplete on Arrival</t>
        </is>
      </c>
    </row>
    <row r="47">
      <c r="A47" s="2" t="inlineStr">
        <is>
          <t>Women's Anklet</t>
        </is>
      </c>
      <c r="B47" s="2" t="inlineStr">
        <is>
          <t>Accessories</t>
        </is>
      </c>
      <c r="C47" s="2" t="n">
        <v>349</v>
      </c>
      <c r="D47" s="2" t="inlineStr">
        <is>
          <t>Anklet broke within the first day of wear</t>
        </is>
      </c>
      <c r="E47" s="2" t="inlineStr">
        <is>
          <t>Build Quality / Durability</t>
        </is>
      </c>
    </row>
    <row r="48">
      <c r="A48" s="2" t="inlineStr">
        <is>
          <t>Trimmer</t>
        </is>
      </c>
      <c r="B48" s="2" t="inlineStr">
        <is>
          <t>Beauty</t>
        </is>
      </c>
      <c r="C48" s="2" t="n">
        <v>1499</v>
      </c>
      <c r="D48" s="2" t="inlineStr">
        <is>
          <t>Battery did not hold charge for more than ten minutes</t>
        </is>
      </c>
      <c r="E48" s="2" t="inlineStr">
        <is>
          <t>Product Malfunction</t>
        </is>
      </c>
    </row>
    <row r="49">
      <c r="A49" s="2" t="inlineStr">
        <is>
          <t>Dinner Set</t>
        </is>
      </c>
      <c r="B49" s="2" t="inlineStr">
        <is>
          <t>Home</t>
        </is>
      </c>
      <c r="C49" s="2" t="n">
        <v>2199</v>
      </c>
      <c r="D49" s="2" t="inlineStr">
        <is>
          <t>Two plates arrived chipped and broken</t>
        </is>
      </c>
      <c r="E49" s="2" t="inlineStr">
        <is>
          <t>Damaged / Incomplete on Arrival</t>
        </is>
      </c>
    </row>
    <row r="50">
      <c r="A50" s="2" t="inlineStr">
        <is>
          <t>Men's Cap</t>
        </is>
      </c>
      <c r="B50" s="2" t="inlineStr">
        <is>
          <t>Accessories</t>
        </is>
      </c>
      <c r="C50" s="2" t="n">
        <v>399</v>
      </c>
      <c r="D50" s="2" t="inlineStr">
        <is>
          <t>Received a different color than what was ordered</t>
        </is>
      </c>
      <c r="E50" s="2" t="inlineStr">
        <is>
          <t>Not as Described (Listing Mismatch)</t>
        </is>
      </c>
    </row>
    <row r="51">
      <c r="A51" s="2" t="inlineStr">
        <is>
          <t>Face Wash Combo</t>
        </is>
      </c>
      <c r="B51" s="2" t="inlineStr">
        <is>
          <t>Beauty</t>
        </is>
      </c>
      <c r="C51" s="2" t="n">
        <v>699</v>
      </c>
      <c r="D51" s="2" t="inlineStr">
        <is>
          <t>Tube was almost empty when it arrived</t>
        </is>
      </c>
      <c r="E51" s="2" t="inlineStr">
        <is>
          <t>Damaged / Incomplete on Arrival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8" customWidth="1" min="4" max="4"/>
    <col width="38" customWidth="1" min="5" max="5"/>
    <col width="42" customWidth="1" min="6" max="6"/>
    <col width="12" customWidth="1" min="7" max="7"/>
  </cols>
  <sheetData>
    <row r="1">
      <c r="A1" s="3" t="inlineStr">
        <is>
          <t>E-COMMERCE RETURN REASON ANALYSIS</t>
        </is>
      </c>
    </row>
    <row r="2">
      <c r="A2" s="4" t="inlineStr">
        <is>
          <t>Sample dataset: 50 return reasons across apparel, electronics, footwear, home &amp; beauty categories</t>
        </is>
      </c>
    </row>
    <row r="4">
      <c r="A4" s="1" t="inlineStr">
        <is>
          <t>Business Category</t>
        </is>
      </c>
      <c r="B4" s="1" t="inlineStr">
        <is>
          <t>No. of Returns</t>
        </is>
      </c>
      <c r="C4" s="1" t="inlineStr">
        <is>
          <t>% of Total</t>
        </is>
      </c>
      <c r="D4" s="1" t="inlineStr">
        <is>
          <t>Avg. Order Value (Rs)</t>
        </is>
      </c>
      <c r="E4" s="1" t="inlineStr">
        <is>
          <t>Root Cause</t>
        </is>
      </c>
      <c r="F4" s="1" t="inlineStr">
        <is>
          <t>Recommended Fix</t>
        </is>
      </c>
      <c r="G4" s="1" t="inlineStr">
        <is>
          <t>Priority</t>
        </is>
      </c>
    </row>
    <row r="5">
      <c r="A5" s="5" t="inlineStr">
        <is>
          <t>Not as Described (Listing Mismatch)</t>
        </is>
      </c>
      <c r="B5" s="5">
        <f>COUNTIF('Raw Data'!E$2:E$51,A5)</f>
        <v/>
      </c>
      <c r="C5" s="6">
        <f>B5/SUM(B5:B10)</f>
        <v/>
      </c>
      <c r="D5" s="7">
        <f>AVERAGEIF('Raw Data'!E$2:E$51,A5,'Raw Data'!C$2:C$51)</f>
        <v/>
      </c>
      <c r="E5" s="5" t="inlineStr">
        <is>
          <t>Listing photos/copy overstate material quality or use inconsistent lighting for color</t>
        </is>
      </c>
      <c r="F5" s="5" t="inlineStr">
        <is>
          <t>Reshoot product photography in neutral lighting; add fabric/material spec field to listing</t>
        </is>
      </c>
      <c r="G5" s="8" t="inlineStr">
        <is>
          <t>High</t>
        </is>
      </c>
    </row>
    <row r="6">
      <c r="A6" s="5" t="inlineStr">
        <is>
          <t>Damaged / Incomplete on Arrival</t>
        </is>
      </c>
      <c r="B6" s="5">
        <f>COUNTIF('Raw Data'!E$2:E$51,A6)</f>
        <v/>
      </c>
      <c r="C6" s="6">
        <f>B6/SUM(B5:B10)</f>
        <v/>
      </c>
      <c r="D6" s="7">
        <f>AVERAGEIF('Raw Data'!E$2:E$51,A6,'Raw Data'!C$2:C$51)</f>
        <v/>
      </c>
      <c r="E6" s="5" t="inlineStr">
        <is>
          <t>Weak packaging and/or logistics handling for fragile or liquid items</t>
        </is>
      </c>
      <c r="F6" s="5" t="inlineStr">
        <is>
          <t>Upgrade packaging spec for fragile/liquid SKUs; add tamper/seal QC check before dispatch</t>
        </is>
      </c>
      <c r="G6" s="8" t="inlineStr">
        <is>
          <t>High</t>
        </is>
      </c>
    </row>
    <row r="7">
      <c r="A7" s="5" t="inlineStr">
        <is>
          <t>Size / Fit Mismatch</t>
        </is>
      </c>
      <c r="B7" s="5">
        <f>COUNTIF('Raw Data'!E$2:E$51,A7)</f>
        <v/>
      </c>
      <c r="C7" s="6">
        <f>B7/SUM(B5:B10)</f>
        <v/>
      </c>
      <c r="D7" s="7">
        <f>AVERAGEIF('Raw Data'!E$2:E$51,A7,'Raw Data'!C$2:C$51)</f>
        <v/>
      </c>
      <c r="E7" s="5" t="inlineStr">
        <is>
          <t>Size charts are inconsistent or not brand/category-specific</t>
        </is>
      </c>
      <c r="F7" s="5" t="inlineStr">
        <is>
          <t>Standardize size charts per brand &amp; add a fit-quiz / model height-weight reference on listing</t>
        </is>
      </c>
      <c r="G7" s="8" t="inlineStr">
        <is>
          <t>High</t>
        </is>
      </c>
    </row>
    <row r="8">
      <c r="A8" s="5" t="inlineStr">
        <is>
          <t>Product Malfunction</t>
        </is>
      </c>
      <c r="B8" s="5">
        <f>COUNTIF('Raw Data'!E$2:E$51,A8)</f>
        <v/>
      </c>
      <c r="C8" s="6">
        <f>B8/SUM(B5:B10)</f>
        <v/>
      </c>
      <c r="D8" s="7">
        <f>AVERAGEIF('Raw Data'!E$2:E$51,A8,'Raw Data'!C$2:C$51)</f>
        <v/>
      </c>
      <c r="E8" s="5" t="inlineStr">
        <is>
          <t>Insufficient QC on electronics/appliance batches before shipping</t>
        </is>
      </c>
      <c r="F8" s="5" t="inlineStr">
        <is>
          <t>Add a functional pre-dispatch test (power-on/charge check) for electronics &amp; appliances</t>
        </is>
      </c>
      <c r="G8" s="9" t="inlineStr">
        <is>
          <t>Medium</t>
        </is>
      </c>
    </row>
    <row r="9">
      <c r="A9" s="5" t="inlineStr">
        <is>
          <t>Build Quality / Durability</t>
        </is>
      </c>
      <c r="B9" s="5">
        <f>COUNTIF('Raw Data'!E$2:E$51,A9)</f>
        <v/>
      </c>
      <c r="C9" s="6">
        <f>B9/SUM(B5:B10)</f>
        <v/>
      </c>
      <c r="D9" s="7">
        <f>AVERAGEIF('Raw Data'!E$2:E$51,A9,'Raw Data'!C$2:C$51)</f>
        <v/>
      </c>
      <c r="E9" s="5" t="inlineStr">
        <is>
          <t>Supplier-side quality issue (stitching, coating, elastic) not caught in QC</t>
        </is>
      </c>
      <c r="F9" s="5" t="inlineStr">
        <is>
          <t>Tighten incoming QC threshold with supplier; add durability spot-checks per batch</t>
        </is>
      </c>
      <c r="G9" s="9" t="inlineStr">
        <is>
          <t>Medium</t>
        </is>
      </c>
    </row>
    <row r="10">
      <c r="A10" s="5" t="inlineStr">
        <is>
          <t>Wrong Item Sent</t>
        </is>
      </c>
      <c r="B10" s="5">
        <f>COUNTIF('Raw Data'!E$2:E$51,A10)</f>
        <v/>
      </c>
      <c r="C10" s="6">
        <f>B10/SUM(B5:B10)</f>
        <v/>
      </c>
      <c r="D10" s="7">
        <f>AVERAGEIF('Raw Data'!E$2:E$51,A10,'Raw Data'!C$2:C$51)</f>
        <v/>
      </c>
      <c r="E10" s="5" t="inlineStr">
        <is>
          <t>Warehouse picking/packing errors during order fulfillment</t>
        </is>
      </c>
      <c r="F10" s="5" t="inlineStr">
        <is>
          <t>Add barcode-scan verification step at packing before an order is sealed</t>
        </is>
      </c>
      <c r="G10" s="10" t="inlineStr">
        <is>
          <t>Low-Medium</t>
        </is>
      </c>
    </row>
    <row r="11">
      <c r="A11" s="11" t="inlineStr">
        <is>
          <t>TOTAL</t>
        </is>
      </c>
      <c r="B11" s="11">
        <f>SUM(B5:B10)</f>
        <v/>
      </c>
    </row>
    <row r="13">
      <c r="A13" s="12" t="inlineStr">
        <is>
          <t>Note: 'No. of Returns', '% of Total' and 'Avg. Order Value' are live formulas pulling from the Raw Data sheet. Root Cause / Recommended Fix / Priority are analyst judgment based on reviewing each category's return reasons.</t>
        </is>
      </c>
    </row>
  </sheetData>
  <mergeCells count="1">
    <mergeCell ref="A13:G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2026-07-14T04:31:31Z</dcterms:created>
  <dcterms:modified xsi:type="dcterms:W3CDTF">2026-07-14T04:31:31Z</dcterms:modified>
</cp:coreProperties>
</file>